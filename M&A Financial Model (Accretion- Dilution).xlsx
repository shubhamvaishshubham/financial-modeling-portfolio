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ubham Vaish\Downloads\"/>
    </mc:Choice>
  </mc:AlternateContent>
  <xr:revisionPtr revIDLastSave="0" documentId="13_ncr:1_{C4A415FA-4F87-4E47-B9DC-6DB7FE593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&amp;A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0" i="1"/>
  <c r="C45" i="1"/>
  <c r="C44" i="1"/>
  <c r="C43" i="1"/>
  <c r="C35" i="1"/>
  <c r="C36" i="1" s="1"/>
  <c r="C39" i="1" l="1"/>
  <c r="C46" i="1" s="1"/>
  <c r="C47" i="1" s="1"/>
  <c r="C38" i="1"/>
  <c r="C51" i="1" s="1"/>
  <c r="C52" i="1" s="1"/>
  <c r="C37" i="1"/>
  <c r="C40" i="1" l="1"/>
  <c r="C57" i="1"/>
  <c r="C58" i="1" s="1"/>
</calcChain>
</file>

<file path=xl/sharedStrings.xml><?xml version="1.0" encoding="utf-8"?>
<sst xmlns="http://schemas.openxmlformats.org/spreadsheetml/2006/main" count="44" uniqueCount="40">
  <si>
    <t>M&amp;A Accretion/Dilution Model</t>
  </si>
  <si>
    <t>KEY ASSUMPTIONS</t>
  </si>
  <si>
    <t>Financial Inputs</t>
  </si>
  <si>
    <t>Current Share Price ($)</t>
  </si>
  <si>
    <t>Shares Outstanding (millions)</t>
  </si>
  <si>
    <t>Net Income ($ millions)</t>
  </si>
  <si>
    <t>Tax Rate (%)</t>
  </si>
  <si>
    <t>Cost of Debt (%)</t>
  </si>
  <si>
    <t>Transaction Assumptions</t>
  </si>
  <si>
    <t>Target Premium (%)</t>
  </si>
  <si>
    <t>Cash Consideration (%)</t>
  </si>
  <si>
    <t>Stock Consideration (%)</t>
  </si>
  <si>
    <t>Debt Consideration (%)</t>
  </si>
  <si>
    <t>Pre-Tax Synergies ($ millions)</t>
  </si>
  <si>
    <t>Transaction Fees ($ millions)</t>
  </si>
  <si>
    <t>TRANSACTION &amp; PROFORMA CALCULATIONS</t>
  </si>
  <si>
    <t>A. Purchase Price &amp; Financing</t>
  </si>
  <si>
    <t>Purchase Price per Share ($)</t>
  </si>
  <si>
    <t>Total Equity Value (Purchase Price) ($ millions)</t>
  </si>
  <si>
    <t>Cash Required ($ millions)</t>
  </si>
  <si>
    <t>Stock Required ($ millions)</t>
  </si>
  <si>
    <t>Debt Required ($ millions)</t>
  </si>
  <si>
    <t>Total Consideration (Check)</t>
  </si>
  <si>
    <t>B. Proforma Net Income ($ millions)</t>
  </si>
  <si>
    <t>Acquirer Net Income</t>
  </si>
  <si>
    <t>Target Net Income</t>
  </si>
  <si>
    <t>Synergies (After-Tax)</t>
  </si>
  <si>
    <t>New Interest Expense (After-Tax)</t>
  </si>
  <si>
    <t>Proforma Net Income</t>
  </si>
  <si>
    <t>C. Proforma Shares Outstanding (millions)</t>
  </si>
  <si>
    <t>Acquirer Shares Outstanding</t>
  </si>
  <si>
    <t>New Shares Issued</t>
  </si>
  <si>
    <t>Proforma Shares Outstanding</t>
  </si>
  <si>
    <t>ACCRETION/DILUTION ANALYSIS</t>
  </si>
  <si>
    <t>Acquirer EPS (Standalone) ($)</t>
  </si>
  <si>
    <t>Proforma EPS ($)</t>
  </si>
  <si>
    <t>Accretion / (Dilution) %</t>
  </si>
  <si>
    <t>Acquirer (Buyer) HDFC Bank</t>
  </si>
  <si>
    <t>Target (Seller) HDFC Ltd.</t>
  </si>
  <si>
    <t xml:space="preserve">Financial Modelling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</si>
</sst>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A"/>
    <numFmt numFmtId="165" formatCode="&quot;Year &quot;#"/>
    <numFmt numFmtId="166" formatCode="\$#,##0.00"/>
    <numFmt numFmtId="167" formatCode="0;\(#\)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3333FF"/>
      <name val="Arial"/>
      <family val="2"/>
    </font>
    <font>
      <b/>
      <sz val="14"/>
      <color rgb="FF3333FF"/>
      <name val="Arial"/>
      <family val="2"/>
    </font>
    <font>
      <sz val="11"/>
      <color rgb="FF3333FF"/>
      <name val="Arial"/>
      <family val="2"/>
    </font>
    <font>
      <sz val="10"/>
      <color rgb="FF3333FF"/>
      <name val="Arial"/>
      <family val="2"/>
    </font>
    <font>
      <b/>
      <sz val="8"/>
      <color rgb="FF3333FF"/>
      <name val="Arial"/>
      <family val="2"/>
    </font>
    <font>
      <sz val="18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3333FF"/>
        <bgColor rgb="FF00B05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3333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165" fontId="3" fillId="2" borderId="2" xfId="0" applyNumberFormat="1" applyFont="1" applyFill="1" applyBorder="1"/>
    <xf numFmtId="0" fontId="4" fillId="0" borderId="0" xfId="0" applyFont="1"/>
    <xf numFmtId="0" fontId="5" fillId="2" borderId="3" xfId="0" applyFont="1" applyFill="1" applyBorder="1"/>
    <xf numFmtId="0" fontId="4" fillId="2" borderId="4" xfId="0" applyFont="1" applyFill="1" applyBorder="1"/>
    <xf numFmtId="166" fontId="4" fillId="3" borderId="5" xfId="0" applyNumberFormat="1" applyFont="1" applyFill="1" applyBorder="1"/>
    <xf numFmtId="3" fontId="4" fillId="3" borderId="6" xfId="0" applyNumberFormat="1" applyFont="1" applyFill="1" applyBorder="1"/>
    <xf numFmtId="10" fontId="4" fillId="3" borderId="6" xfId="0" applyNumberFormat="1" applyFont="1" applyFill="1" applyBorder="1"/>
    <xf numFmtId="0" fontId="4" fillId="2" borderId="7" xfId="0" applyFont="1" applyFill="1" applyBorder="1"/>
    <xf numFmtId="166" fontId="4" fillId="3" borderId="6" xfId="0" applyNumberFormat="1" applyFont="1" applyFill="1" applyBorder="1"/>
    <xf numFmtId="0" fontId="4" fillId="2" borderId="8" xfId="0" applyFont="1" applyFill="1" applyBorder="1"/>
    <xf numFmtId="166" fontId="4" fillId="0" borderId="9" xfId="0" applyNumberFormat="1" applyFont="1" applyBorder="1"/>
    <xf numFmtId="3" fontId="4" fillId="0" borderId="9" xfId="0" applyNumberFormat="1" applyFont="1" applyBorder="1"/>
    <xf numFmtId="0" fontId="5" fillId="2" borderId="8" xfId="0" applyFont="1" applyFill="1" applyBorder="1"/>
    <xf numFmtId="3" fontId="5" fillId="0" borderId="9" xfId="0" applyNumberFormat="1" applyFont="1" applyBorder="1"/>
    <xf numFmtId="167" fontId="4" fillId="0" borderId="9" xfId="0" applyNumberFormat="1" applyFont="1" applyBorder="1"/>
    <xf numFmtId="10" fontId="5" fillId="0" borderId="9" xfId="0" applyNumberFormat="1" applyFont="1" applyBorder="1"/>
    <xf numFmtId="0" fontId="0" fillId="0" borderId="1" xfId="0" applyBorder="1"/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vertical="top"/>
    </xf>
    <xf numFmtId="0" fontId="2" fillId="2" borderId="10" xfId="0" applyFont="1" applyFill="1" applyBorder="1"/>
    <xf numFmtId="0" fontId="7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65" fontId="3" fillId="2" borderId="10" xfId="0" applyNumberFormat="1" applyFont="1" applyFill="1" applyBorder="1"/>
    <xf numFmtId="165" fontId="3" fillId="2" borderId="1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45" workbookViewId="0">
      <selection activeCell="F32" sqref="F32"/>
    </sheetView>
  </sheetViews>
  <sheetFormatPr defaultColWidth="12.6328125" defaultRowHeight="15.75" customHeight="1" outlineLevelRow="1" x14ac:dyDescent="0.25"/>
  <cols>
    <col min="1" max="1" width="2.36328125" customWidth="1"/>
    <col min="2" max="2" width="43.453125" customWidth="1"/>
    <col min="3" max="3" width="17.453125" customWidth="1"/>
    <col min="4" max="17" width="7.90625" customWidth="1"/>
    <col min="18" max="26" width="7.6328125" customWidth="1"/>
  </cols>
  <sheetData>
    <row r="1" spans="1:26" s="23" customFormat="1" ht="32.5" customHeight="1" x14ac:dyDescent="0.5">
      <c r="B1" s="24" t="s">
        <v>0</v>
      </c>
    </row>
    <row r="2" spans="1:26" s="19" customFormat="1" ht="20" customHeight="1" x14ac:dyDescent="0.25">
      <c r="B2" s="25" t="s">
        <v>39</v>
      </c>
    </row>
    <row r="3" spans="1:26" ht="14.25" customHeight="1" x14ac:dyDescent="0.3">
      <c r="A3" s="1"/>
      <c r="B3" s="20"/>
      <c r="C3" s="20"/>
      <c r="D3" s="20"/>
      <c r="E3" s="20"/>
      <c r="F3" s="20"/>
      <c r="G3" s="20"/>
      <c r="H3" s="21"/>
      <c r="I3" s="21"/>
      <c r="J3" s="21"/>
      <c r="K3" s="21"/>
      <c r="L3" s="21"/>
      <c r="M3" s="21"/>
      <c r="N3" s="21"/>
      <c r="O3" s="21"/>
      <c r="P3" s="21"/>
      <c r="Q3" s="2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20"/>
      <c r="C4" s="20"/>
      <c r="D4" s="20"/>
      <c r="E4" s="2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28" t="s">
        <v>1</v>
      </c>
      <c r="C6" s="26"/>
      <c r="D6" s="26"/>
      <c r="E6" s="29"/>
      <c r="F6" s="2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outlineLevel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outlineLevel="1" x14ac:dyDescent="0.3">
      <c r="A8" s="1"/>
      <c r="B8" s="27" t="s">
        <v>2</v>
      </c>
      <c r="C8" s="2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outlineLevel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outlineLevel="1" x14ac:dyDescent="0.35">
      <c r="A10" s="4"/>
      <c r="B10" s="5" t="s">
        <v>37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outlineLevel="1" x14ac:dyDescent="0.35">
      <c r="A11" s="4"/>
      <c r="B11" s="6" t="s">
        <v>3</v>
      </c>
      <c r="C11" s="7">
        <v>20.12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outlineLevel="1" x14ac:dyDescent="0.35">
      <c r="A12" s="4"/>
      <c r="B12" s="6" t="s">
        <v>4</v>
      </c>
      <c r="C12" s="8">
        <v>7590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outlineLevel="1" x14ac:dyDescent="0.35">
      <c r="A13" s="4"/>
      <c r="B13" s="6" t="s">
        <v>5</v>
      </c>
      <c r="C13" s="8">
        <v>5379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outlineLevel="1" x14ac:dyDescent="0.35">
      <c r="A14" s="4"/>
      <c r="B14" s="6" t="s">
        <v>6</v>
      </c>
      <c r="C14" s="9">
        <v>0.25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outlineLevel="1" x14ac:dyDescent="0.35">
      <c r="A15" s="4"/>
      <c r="B15" s="6" t="s">
        <v>7</v>
      </c>
      <c r="C15" s="9">
        <v>7.4999999999999997E-2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outlineLevel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outlineLevel="1" x14ac:dyDescent="0.35">
      <c r="A17" s="4"/>
      <c r="B17" s="5" t="s">
        <v>38</v>
      </c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outlineLevel="1" x14ac:dyDescent="0.35">
      <c r="A18" s="4"/>
      <c r="B18" s="10" t="s">
        <v>3</v>
      </c>
      <c r="C18" s="11">
        <v>33.049999999999997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outlineLevel="1" x14ac:dyDescent="0.35">
      <c r="A19" s="4"/>
      <c r="B19" s="10" t="s">
        <v>4</v>
      </c>
      <c r="C19" s="8">
        <v>1812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outlineLevel="1" x14ac:dyDescent="0.35">
      <c r="A20" s="4"/>
      <c r="B20" s="10" t="s">
        <v>5</v>
      </c>
      <c r="C20" s="8">
        <v>1674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outlineLevel="1" x14ac:dyDescent="0.35">
      <c r="A21" s="4"/>
      <c r="B21" s="12" t="s">
        <v>6</v>
      </c>
      <c r="C21" s="9">
        <v>0.25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outlineLevel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outlineLevel="1" x14ac:dyDescent="0.35">
      <c r="A23" s="4"/>
      <c r="B23" s="27" t="s">
        <v>8</v>
      </c>
      <c r="C23" s="2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outlineLevel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outlineLevel="1" x14ac:dyDescent="0.35">
      <c r="A25" s="4"/>
      <c r="B25" s="10" t="s">
        <v>9</v>
      </c>
      <c r="C25" s="9">
        <v>0.04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outlineLevel="1" x14ac:dyDescent="0.35">
      <c r="A26" s="4"/>
      <c r="B26" s="10" t="s">
        <v>10</v>
      </c>
      <c r="C26" s="9"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outlineLevel="1" x14ac:dyDescent="0.35">
      <c r="A27" s="4"/>
      <c r="B27" s="10" t="s">
        <v>11</v>
      </c>
      <c r="C27" s="9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outlineLevel="1" x14ac:dyDescent="0.35">
      <c r="A28" s="4"/>
      <c r="B28" s="10" t="s">
        <v>12</v>
      </c>
      <c r="C28" s="9">
        <v>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outlineLevel="1" x14ac:dyDescent="0.35">
      <c r="A29" s="4"/>
      <c r="B29" s="10" t="s">
        <v>13</v>
      </c>
      <c r="C29" s="8">
        <v>488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outlineLevel="1" x14ac:dyDescent="0.35">
      <c r="A30" s="4"/>
      <c r="B30" s="12" t="s">
        <v>14</v>
      </c>
      <c r="C30" s="8">
        <v>61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5">
      <c r="A32" s="4"/>
      <c r="B32" s="28" t="s">
        <v>15</v>
      </c>
      <c r="C32" s="2"/>
      <c r="D32" s="2"/>
      <c r="E32" s="3"/>
      <c r="F32" s="29"/>
      <c r="G32" s="29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outlineLevel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outlineLevel="1" x14ac:dyDescent="0.35">
      <c r="A34" s="4"/>
      <c r="B34" s="5" t="s">
        <v>16</v>
      </c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outlineLevel="1" x14ac:dyDescent="0.35">
      <c r="A35" s="4"/>
      <c r="B35" s="10" t="s">
        <v>17</v>
      </c>
      <c r="C35" s="13">
        <f>C18*(1+C25)</f>
        <v>34.372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outlineLevel="1" x14ac:dyDescent="0.35">
      <c r="A36" s="4"/>
      <c r="B36" s="10" t="s">
        <v>18</v>
      </c>
      <c r="C36" s="14">
        <f>C35*C19</f>
        <v>62282.063999999998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outlineLevel="1" x14ac:dyDescent="0.35">
      <c r="A37" s="4"/>
      <c r="B37" s="10" t="s">
        <v>19</v>
      </c>
      <c r="C37" s="14">
        <f t="shared" ref="C37:C39" si="0">$C$36*C26</f>
        <v>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outlineLevel="1" x14ac:dyDescent="0.35">
      <c r="A38" s="4"/>
      <c r="B38" s="10" t="s">
        <v>20</v>
      </c>
      <c r="C38" s="14">
        <f t="shared" si="0"/>
        <v>62282.063999999998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outlineLevel="1" x14ac:dyDescent="0.35">
      <c r="A39" s="4"/>
      <c r="B39" s="10" t="s">
        <v>21</v>
      </c>
      <c r="C39" s="14">
        <f t="shared" si="0"/>
        <v>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outlineLevel="1" x14ac:dyDescent="0.35">
      <c r="A40" s="4"/>
      <c r="B40" s="15" t="s">
        <v>22</v>
      </c>
      <c r="C40" s="16">
        <f>SUM(C37:C39)</f>
        <v>62282.063999999998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outlineLevel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outlineLevel="1" x14ac:dyDescent="0.35">
      <c r="A42" s="4"/>
      <c r="B42" s="5" t="s">
        <v>23</v>
      </c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outlineLevel="1" x14ac:dyDescent="0.35">
      <c r="A43" s="4"/>
      <c r="B43" s="10" t="s">
        <v>24</v>
      </c>
      <c r="C43" s="14">
        <f>C13</f>
        <v>5379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outlineLevel="1" x14ac:dyDescent="0.35">
      <c r="A44" s="4"/>
      <c r="B44" s="10" t="s">
        <v>25</v>
      </c>
      <c r="C44" s="14">
        <f>C20</f>
        <v>1674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outlineLevel="1" x14ac:dyDescent="0.35">
      <c r="A45" s="4"/>
      <c r="B45" s="10" t="s">
        <v>26</v>
      </c>
      <c r="C45" s="14">
        <f>C29*(1-C14)</f>
        <v>366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outlineLevel="1" x14ac:dyDescent="0.35">
      <c r="A46" s="4"/>
      <c r="B46" s="10" t="s">
        <v>27</v>
      </c>
      <c r="C46" s="17">
        <f>-C39*C15*(1-C14)</f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outlineLevel="1" x14ac:dyDescent="0.35">
      <c r="A47" s="4"/>
      <c r="B47" s="15" t="s">
        <v>28</v>
      </c>
      <c r="C47" s="16">
        <f>SUM(C43:C46)-C30</f>
        <v>7358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outlineLevel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outlineLevel="1" x14ac:dyDescent="0.35">
      <c r="A49" s="4"/>
      <c r="B49" s="5" t="s">
        <v>29</v>
      </c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outlineLevel="1" x14ac:dyDescent="0.35">
      <c r="A50" s="4"/>
      <c r="B50" s="10" t="s">
        <v>30</v>
      </c>
      <c r="C50" s="14">
        <f>C12</f>
        <v>7590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outlineLevel="1" x14ac:dyDescent="0.35">
      <c r="A51" s="4"/>
      <c r="B51" s="10" t="s">
        <v>31</v>
      </c>
      <c r="C51" s="14">
        <f>C38/C11</f>
        <v>3095.5300198807154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outlineLevel="1" x14ac:dyDescent="0.35">
      <c r="A52" s="4"/>
      <c r="B52" s="12" t="s">
        <v>32</v>
      </c>
      <c r="C52" s="14">
        <f>C50+C51</f>
        <v>10685.530019880716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5">
      <c r="A54" s="4"/>
      <c r="B54" s="28" t="s">
        <v>33</v>
      </c>
      <c r="C54" s="26"/>
      <c r="D54" s="26"/>
      <c r="E54" s="29"/>
      <c r="F54" s="29"/>
      <c r="G54" s="29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outlineLevel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outlineLevel="1" x14ac:dyDescent="0.35">
      <c r="A56" s="4"/>
      <c r="B56" s="10" t="s">
        <v>34</v>
      </c>
      <c r="C56" s="13">
        <f>C13/C12</f>
        <v>0.70869565217391306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outlineLevel="1" x14ac:dyDescent="0.35">
      <c r="A57" s="4"/>
      <c r="B57" s="10" t="s">
        <v>35</v>
      </c>
      <c r="C57" s="13">
        <f>C47/C52</f>
        <v>0.68859476191730717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outlineLevel="1" x14ac:dyDescent="0.35">
      <c r="A58" s="4"/>
      <c r="B58" s="15" t="s">
        <v>36</v>
      </c>
      <c r="C58" s="18">
        <f>C57/C56-1</f>
        <v>-2.8363219380486804E-2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Vaish</dc:creator>
  <cp:lastModifiedBy>Shubham Vaish</cp:lastModifiedBy>
  <cp:lastPrinted>2026-06-19T20:38:30Z</cp:lastPrinted>
  <dcterms:created xsi:type="dcterms:W3CDTF">2026-05-18T05:42:37Z</dcterms:created>
  <dcterms:modified xsi:type="dcterms:W3CDTF">2026-06-19T20:38:38Z</dcterms:modified>
</cp:coreProperties>
</file>